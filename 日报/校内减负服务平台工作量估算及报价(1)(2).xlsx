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604" activeTab="1"/>
  </bookViews>
  <sheets>
    <sheet name="封面" sheetId="1" r:id="rId1"/>
    <sheet name="项目评估" sheetId="2" r:id="rId2"/>
  </sheets>
  <externalReferences>
    <externalReference r:id="rId3"/>
  </externalReferences>
  <definedNames>
    <definedName name="_Toc19583" localSheetId="1">项目评估!#REF!</definedName>
    <definedName name="_Toc23472" localSheetId="1">项目评估!#REF!</definedName>
    <definedName name="P_ALL" localSheetId="1">#REF!</definedName>
    <definedName name="P_ALL">#REF!</definedName>
    <definedName name="P_LOG" localSheetId="1">#REF!</definedName>
    <definedName name="P_LOG">#REF!</definedName>
    <definedName name="_xlnm.Print_Area" localSheetId="1">项目评估!$A$1:$G$38</definedName>
    <definedName name="R_LOG" localSheetId="1">#REF!</definedName>
    <definedName name="R_LOG">#REF!</definedName>
    <definedName name="StaffName">[1]定义!$D$4:$D$73</definedName>
    <definedName name="陈刚勇">#REF!</definedName>
    <definedName name="陈希">#REF!</definedName>
    <definedName name="陈艳红">#REF!</definedName>
    <definedName name="杜习坤">#REF!</definedName>
    <definedName name="额">#REF!</definedName>
    <definedName name="范喜军">#REF!</definedName>
    <definedName name="郭付杰">#REF!</definedName>
    <definedName name="郭霄云">#REF!</definedName>
    <definedName name="郭云乔">#REF!</definedName>
    <definedName name="郭志伟">#REF!</definedName>
    <definedName name="荆建彬">#REF!</definedName>
    <definedName name="李会鲜">#REF!</definedName>
    <definedName name="李鹏飞">#REF!</definedName>
    <definedName name="李晓东">#REF!</definedName>
    <definedName name="李智">#REF!</definedName>
    <definedName name="连俊">#REF!</definedName>
    <definedName name="梁轲">#REF!</definedName>
    <definedName name="马金木">#REF!</definedName>
    <definedName name="孟培果">#REF!</definedName>
    <definedName name="牛清波">#REF!</definedName>
    <definedName name="石晓萍">#REF!</definedName>
    <definedName name="宋谦">#REF!</definedName>
    <definedName name="孙卫校">#REF!</definedName>
    <definedName name="王国飞">#REF!</definedName>
    <definedName name="王辉">#REF!</definedName>
    <definedName name="王珂">#REF!</definedName>
    <definedName name="王强">#REF!</definedName>
    <definedName name="王世学">#REF!</definedName>
    <definedName name="王振伟">#REF!</definedName>
    <definedName name="王志勃">#REF!</definedName>
    <definedName name="杨帅">#REF!</definedName>
    <definedName name="姚健">#REF!</definedName>
    <definedName name="袁丙豪">#REF!</definedName>
    <definedName name="张朝阳">#REF!</definedName>
    <definedName name="张浩">#REF!</definedName>
    <definedName name="张辉琴">#REF!</definedName>
    <definedName name="张明">#REF!</definedName>
    <definedName name="张亚菲">#REF!</definedName>
    <definedName name="赵恒">#REF!</definedName>
    <definedName name="郑峰辉">#REF!</definedName>
  </definedNames>
  <calcPr calcId="144525"/>
</workbook>
</file>

<file path=xl/sharedStrings.xml><?xml version="1.0" encoding="utf-8"?>
<sst xmlns="http://schemas.openxmlformats.org/spreadsheetml/2006/main" count="82" uniqueCount="82">
  <si>
    <r>
      <rPr>
        <sz val="26"/>
        <color indexed="62"/>
        <rFont val="Times New Roman"/>
        <charset val="134"/>
      </rPr>
      <t>CMMI3</t>
    </r>
    <r>
      <rPr>
        <sz val="26"/>
        <color indexed="62"/>
        <rFont val="华文中宋"/>
        <charset val="134"/>
      </rPr>
      <t>标准文件</t>
    </r>
  </si>
  <si>
    <r>
      <rPr>
        <sz val="12"/>
        <color indexed="8"/>
        <rFont val="华文中宋"/>
        <charset val="134"/>
      </rPr>
      <t>文件编号</t>
    </r>
    <r>
      <rPr>
        <sz val="12"/>
        <color indexed="8"/>
        <rFont val="宋体"/>
        <charset val="134"/>
      </rPr>
      <t>：</t>
    </r>
    <r>
      <rPr>
        <sz val="12"/>
        <color indexed="8"/>
        <rFont val="Times New Roman"/>
        <charset val="134"/>
      </rPr>
      <t xml:space="preserve">863-PP-Tem-07 </t>
    </r>
  </si>
  <si>
    <t xml:space="preserve">      </t>
  </si>
  <si>
    <t>校内减负服务平台工作量估算及报价</t>
  </si>
  <si>
    <r>
      <rPr>
        <sz val="16"/>
        <color indexed="8"/>
        <rFont val="宋体"/>
        <charset val="134"/>
      </rPr>
      <t>（版本：</t>
    </r>
    <r>
      <rPr>
        <sz val="16"/>
        <color indexed="8"/>
        <rFont val="Times New Roman"/>
        <charset val="134"/>
      </rPr>
      <t>V1.0</t>
    </r>
    <r>
      <rPr>
        <sz val="16"/>
        <color indexed="8"/>
        <rFont val="宋体"/>
        <charset val="134"/>
      </rPr>
      <t>，第</t>
    </r>
    <r>
      <rPr>
        <sz val="16"/>
        <color indexed="8"/>
        <rFont val="Times New Roman"/>
        <charset val="134"/>
      </rPr>
      <t>0</t>
    </r>
    <r>
      <rPr>
        <sz val="16"/>
        <color indexed="8"/>
        <rFont val="宋体"/>
        <charset val="134"/>
      </rPr>
      <t>次修订）</t>
    </r>
  </si>
  <si>
    <t>2021年11月20日发布                         2021年11月20日实施</t>
  </si>
  <si>
    <t>河南省863软件孵化器有限公司发布</t>
  </si>
  <si>
    <r>
      <rPr>
        <sz val="12"/>
        <color rgb="FF000000"/>
        <rFont val="宋体"/>
        <charset val="134"/>
      </rPr>
      <t>编写日期：</t>
    </r>
    <r>
      <rPr>
        <sz val="12"/>
        <color rgb="FF000000"/>
        <rFont val="Times New Roman"/>
        <charset val="134"/>
      </rPr>
      <t xml:space="preserve">    2021-11-20  </t>
    </r>
  </si>
  <si>
    <r>
      <rPr>
        <sz val="12"/>
        <color rgb="FF000000"/>
        <rFont val="宋体"/>
        <charset val="134"/>
      </rPr>
      <t>审核日期：</t>
    </r>
    <r>
      <rPr>
        <sz val="12"/>
        <color rgb="FF000000"/>
        <rFont val="Times New Roman"/>
        <charset val="134"/>
      </rPr>
      <t xml:space="preserve">      </t>
    </r>
  </si>
  <si>
    <r>
      <rPr>
        <sz val="12"/>
        <color rgb="FF000000"/>
        <rFont val="宋体"/>
        <charset val="134"/>
      </rPr>
      <t>批准日期：</t>
    </r>
    <r>
      <rPr>
        <sz val="12"/>
        <color rgb="FF000000"/>
        <rFont val="Times New Roman"/>
        <charset val="134"/>
      </rPr>
      <t xml:space="preserve">    </t>
    </r>
  </si>
  <si>
    <t>校内减负服务平台工作量估算</t>
  </si>
  <si>
    <t>1、需求</t>
  </si>
  <si>
    <t>研发(人/日)</t>
  </si>
  <si>
    <t>测试(人/日)</t>
  </si>
  <si>
    <t>备注</t>
  </si>
  <si>
    <t>需求调研、需求分析、业务流程分析、编写需求规格说明书、需求确认、项目计划制定</t>
  </si>
  <si>
    <t>2、设计</t>
  </si>
  <si>
    <r>
      <rPr>
        <b/>
        <sz val="11"/>
        <color rgb="FF000000"/>
        <rFont val="微软雅黑"/>
        <charset val="134"/>
      </rPr>
      <t>系统总体功能规划设计、技术选型、架构设计与搭建</t>
    </r>
    <r>
      <rPr>
        <sz val="11"/>
        <color rgb="FF000000"/>
        <rFont val="微软雅黑"/>
        <charset val="134"/>
      </rPr>
      <t xml:space="preserve">
      平台架构采用基础框架Spring BOOT，MVC框架Spring MVC、持久框架Mybatis-Plus 、程序构建Maven、关系型数据库MySQL、消息中间件AMQPRocketMQ、缓存Redis、搜索引擎Elasticsearch、安全框架Spring Security、数据库连接池Druid、数据库分库分表sharding、定时任务xxl-job、负载均衡Nginx， 使用Log4j实现日志中心功能、实现监控预警功能、集成Spring Admin 实现服务监控功能、和服务健康监测，动态配置服务，动态DNS服务及服务及其元数据管理，更高效敏捷和安全的管理服务的生命周期降低配置风险，按需弹性扩展持续化增加配置。
   平台建立数据安全管理规范，在建设平台的过程中，根据在《国家网络安全法》、《个人信息保护规范》的指导和要求，结合政府数据的实际情况，设计数据安全管理策略，建立数据安全内控要求。建立数据访问控制管理规范，规定智慧养老服务平台数据权限申请、数据访问管理、用户账号安全管理和安全保障措施的具体要求，实现数据权限管理的统一、安全与规范。包括建设统一的用户认证体系、用户密码安全要求、账户权限变更要求、账户权限回收要求、账户权限异议处理、数据权限申请流程、数据的加密与脱敏。</t>
    </r>
  </si>
  <si>
    <t>选用863技术基础架构</t>
  </si>
  <si>
    <t>具体模块的控制流程，内部算法和数据流转的设计、数据库设计等</t>
  </si>
  <si>
    <t>整体效果图设计、切图，静态页面布局及前端效果制作</t>
  </si>
  <si>
    <t>3、开发、测试（单元、集成）</t>
  </si>
  <si>
    <t>一级模块</t>
  </si>
  <si>
    <t>二级模块</t>
  </si>
  <si>
    <t>描述</t>
  </si>
  <si>
    <t>校内减负数据指挥中心</t>
  </si>
  <si>
    <t>局/校监管数据驾驶舱</t>
  </si>
  <si>
    <t>濮阳市五县一区课后服务数据统计分析展示。包括区域内学生作业总数、作业批改数据、优质课件数据、优秀作业数据、学生睡眠数据、地区排名、学校排名等</t>
  </si>
  <si>
    <t>学生主题</t>
  </si>
  <si>
    <t>学生作业数、作业时长、批改情况、优秀作业等数据。</t>
  </si>
  <si>
    <t>优质课件主题</t>
  </si>
  <si>
    <t>优秀课件总上传数、校级优秀课件、局级优秀课件、老师课件排行、学校排行、局域排行等</t>
  </si>
  <si>
    <t>局校教师优质课件共享平台
（含H5移动端）</t>
  </si>
  <si>
    <t>教师课件管理</t>
  </si>
  <si>
    <t>课件本地管理、课件上传平台、课件下载、课件优秀作业关联等</t>
  </si>
  <si>
    <t>校级优秀课件审核</t>
  </si>
  <si>
    <t>校级优秀课件审核管理 。审核通过后进入校级共享平台。</t>
  </si>
  <si>
    <t>局级优秀课件审核</t>
  </si>
  <si>
    <t>局级优秀课件审核管理。 审核通过后进入局级共享平台。</t>
  </si>
  <si>
    <t>优秀课件共享数据库</t>
  </si>
  <si>
    <t>平台会员可以按照 年纪、学科、教师名称等条件进行检索，并可以查看与下载课件。</t>
  </si>
  <si>
    <t>课后服务管理平台
（含H5移动端）</t>
  </si>
  <si>
    <t>学校作息时间管理</t>
  </si>
  <si>
    <t>管理本校的作息时间表。</t>
  </si>
  <si>
    <t>课后服务内容管理</t>
  </si>
  <si>
    <t>管理本校课后服务的具体课程以及相关老师与校外培训机构。</t>
  </si>
  <si>
    <t>作业布置管理</t>
  </si>
  <si>
    <t>各科老师每天布置作业相关课后作业，每天老师布置作业的时长不能超过系统设置的时长。</t>
  </si>
  <si>
    <t>作业批改管理</t>
  </si>
  <si>
    <t>按照学生学号有序进行作业批改，优秀作业上传相关图片</t>
  </si>
  <si>
    <t>优秀作业管理</t>
  </si>
  <si>
    <t>管理学生的优秀作业。</t>
  </si>
  <si>
    <t>学校管理</t>
  </si>
  <si>
    <t>区域内学校基本信息管理</t>
  </si>
  <si>
    <t>年级管理</t>
  </si>
  <si>
    <t>年级基础信息管理</t>
  </si>
  <si>
    <t>班级管理</t>
  </si>
  <si>
    <t>班级基础信息管理。包括设置老师与班级的关系</t>
  </si>
  <si>
    <t>学生管理</t>
  </si>
  <si>
    <t>学生基本信息管理。包括设置学生与班级的关系</t>
  </si>
  <si>
    <t>考试备案</t>
  </si>
  <si>
    <t>记录学校考试的时间、考试的目的、考试成果应用等</t>
  </si>
  <si>
    <t>学情统计</t>
  </si>
  <si>
    <t>老师对学生阶段的评价记录</t>
  </si>
  <si>
    <t>数据问卷发布与收集</t>
  </si>
  <si>
    <t>其中包含睡眠、玩手机、阅读，运动等问卷</t>
  </si>
  <si>
    <t>家长与孩子绑定信息</t>
  </si>
  <si>
    <t>全市学校相关数据对接</t>
  </si>
  <si>
    <t>数据接口API</t>
  </si>
  <si>
    <t>建立标准数据接口，便于各个业务系统之间的数据进行互联和共享，形成统一的数据中心。
1、学校、老师、班级与学生的关系数据
2、学校、老师、学生及家长的基础信息。</t>
  </si>
  <si>
    <t>爱濮阳小程序对接</t>
  </si>
  <si>
    <t>教师登陆认证</t>
  </si>
  <si>
    <t>认证后可以对负责的班级进行作业相关的处理</t>
  </si>
  <si>
    <t>家长登陆认证</t>
  </si>
  <si>
    <t>认证后可以上报孩子健康数据、睡眠数据等</t>
  </si>
  <si>
    <t>5、系统集成测试、系统部署以及实施培训</t>
  </si>
  <si>
    <t>6、系统维护</t>
  </si>
  <si>
    <t>小计（人/日）</t>
  </si>
  <si>
    <t>合计（人/月）</t>
  </si>
  <si>
    <t>按照行业标准21.75天为1人/月</t>
  </si>
  <si>
    <t>总体含税报价(万元)</t>
  </si>
  <si>
    <t>1、人员单价按照每人每月1.6万元计算
2、报价中不包含硬件设备及第三方服务费用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</si>
</sst>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9">
    <font>
      <sz val="11"/>
      <name val="宋体"/>
      <charset val="134"/>
    </font>
    <font>
      <sz val="11"/>
      <color indexed="8"/>
      <name val="宋体"/>
      <charset val="134"/>
    </font>
    <font>
      <b/>
      <sz val="20"/>
      <color indexed="8"/>
      <name val="微软雅黑"/>
      <charset val="134"/>
    </font>
    <font>
      <b/>
      <sz val="12"/>
      <color indexed="8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b/>
      <sz val="11"/>
      <color rgb="FF000000"/>
      <name val="微软雅黑"/>
      <charset val="134"/>
    </font>
    <font>
      <sz val="12"/>
      <color indexed="8"/>
      <name val="微软雅黑"/>
      <charset val="134"/>
    </font>
    <font>
      <b/>
      <sz val="12"/>
      <color indexed="9"/>
      <name val="微软雅黑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12"/>
      <color rgb="FF000000"/>
      <name val="微软雅黑"/>
      <charset val="134"/>
    </font>
    <font>
      <b/>
      <sz val="16"/>
      <color indexed="8"/>
      <name val="微软雅黑"/>
      <charset val="134"/>
    </font>
    <font>
      <sz val="40"/>
      <color indexed="8"/>
      <name val="黑体"/>
      <charset val="134"/>
    </font>
    <font>
      <b/>
      <sz val="40"/>
      <color indexed="8"/>
      <name val="宋体"/>
      <charset val="134"/>
    </font>
    <font>
      <sz val="14"/>
      <color indexed="8"/>
      <name val="华文中宋"/>
      <charset val="134"/>
    </font>
    <font>
      <sz val="16"/>
      <color indexed="8"/>
      <name val="华文中宋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  <font>
      <sz val="26"/>
      <color indexed="62"/>
      <name val="Times New Roman"/>
      <charset val="134"/>
    </font>
    <font>
      <sz val="12"/>
      <color indexed="8"/>
      <name val="华文中宋"/>
      <charset val="134"/>
    </font>
    <font>
      <b/>
      <sz val="20"/>
      <color indexed="8"/>
      <name val="宋体"/>
      <charset val="134"/>
    </font>
    <font>
      <sz val="16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6"/>
      <color indexed="62"/>
      <name val="华文中宋"/>
      <charset val="134"/>
    </font>
    <font>
      <sz val="12"/>
      <color indexed="8"/>
      <name val="Times New Roman"/>
      <charset val="134"/>
    </font>
    <font>
      <sz val="16"/>
      <color indexed="8"/>
      <name val="Times New Roman"/>
      <charset val="134"/>
    </font>
    <font>
      <sz val="12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4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7" fillId="7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1" fillId="0" borderId="0">
      <protection locked="0"/>
    </xf>
  </cellStyleXfs>
  <cellXfs count="92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10" fillId="0" borderId="10" xfId="0" applyNumberFormat="1" applyFont="1" applyFill="1" applyBorder="1">
      <alignment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11" fillId="2" borderId="11" xfId="0" applyNumberFormat="1" applyFont="1" applyFill="1" applyBorder="1" applyAlignment="1">
      <alignment horizontal="center" vertical="center" textRotation="255"/>
    </xf>
    <xf numFmtId="0" fontId="12" fillId="2" borderId="12" xfId="0" applyFont="1" applyFill="1" applyBorder="1" applyAlignment="1">
      <alignment horizontal="center" vertical="center"/>
    </xf>
    <xf numFmtId="0" fontId="12" fillId="2" borderId="10" xfId="0" applyFont="1" applyFill="1" applyBorder="1">
      <alignment vertical="center"/>
    </xf>
    <xf numFmtId="0" fontId="12" fillId="2" borderId="10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2" xfId="0" applyFont="1" applyFill="1" applyBorder="1">
      <alignment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" fillId="0" borderId="12" xfId="0" applyFont="1" applyBorder="1">
      <alignment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7" fillId="2" borderId="10" xfId="0" applyFont="1" applyFill="1" applyBorder="1">
      <alignment vertical="center"/>
    </xf>
    <xf numFmtId="0" fontId="7" fillId="2" borderId="10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176" fontId="3" fillId="0" borderId="1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176" fontId="14" fillId="0" borderId="7" xfId="0" applyNumberFormat="1" applyFont="1" applyBorder="1" applyAlignment="1">
      <alignment horizontal="center" vertical="center"/>
    </xf>
    <xf numFmtId="176" fontId="14" fillId="0" borderId="8" xfId="0" applyNumberFormat="1" applyFont="1" applyBorder="1" applyAlignment="1">
      <alignment horizontal="center" vertical="center"/>
    </xf>
    <xf numFmtId="176" fontId="14" fillId="0" borderId="9" xfId="0" applyNumberFormat="1" applyFont="1" applyBorder="1">
      <alignment vertical="center"/>
    </xf>
    <xf numFmtId="0" fontId="1" fillId="0" borderId="0" xfId="49" applyAlignment="1" applyProtection="1">
      <alignment vertical="center"/>
    </xf>
    <xf numFmtId="0" fontId="1" fillId="3" borderId="1" xfId="49" applyFill="1" applyBorder="1" applyAlignment="1" applyProtection="1">
      <alignment vertical="center"/>
    </xf>
    <xf numFmtId="0" fontId="1" fillId="3" borderId="2" xfId="49" applyFill="1" applyBorder="1" applyAlignment="1" applyProtection="1">
      <alignment vertical="center"/>
    </xf>
    <xf numFmtId="0" fontId="1" fillId="3" borderId="14" xfId="49" applyFill="1" applyBorder="1" applyAlignment="1" applyProtection="1">
      <alignment vertical="center"/>
    </xf>
    <xf numFmtId="0" fontId="1" fillId="3" borderId="0" xfId="49" applyFill="1" applyAlignment="1" applyProtection="1">
      <alignment vertical="center"/>
    </xf>
    <xf numFmtId="0" fontId="1" fillId="3" borderId="14" xfId="49" applyFont="1" applyFill="1" applyBorder="1" applyAlignment="1" applyProtection="1">
      <alignment vertical="center"/>
    </xf>
    <xf numFmtId="0" fontId="15" fillId="3" borderId="0" xfId="49" applyFont="1" applyFill="1" applyAlignment="1" applyProtection="1">
      <alignment vertical="center"/>
    </xf>
    <xf numFmtId="0" fontId="16" fillId="3" borderId="0" xfId="49" applyFont="1" applyFill="1" applyAlignment="1" applyProtection="1">
      <alignment vertical="center"/>
    </xf>
    <xf numFmtId="0" fontId="17" fillId="3" borderId="0" xfId="49" applyFont="1" applyFill="1" applyAlignment="1" applyProtection="1">
      <alignment horizontal="left" vertical="center"/>
    </xf>
    <xf numFmtId="0" fontId="18" fillId="3" borderId="2" xfId="49" applyFont="1" applyFill="1" applyBorder="1" applyAlignment="1" applyProtection="1">
      <alignment horizontal="left" vertical="center"/>
    </xf>
    <xf numFmtId="0" fontId="19" fillId="3" borderId="0" xfId="49" applyFont="1" applyFill="1" applyAlignment="1" applyProtection="1">
      <alignment horizontal="left" vertical="center"/>
    </xf>
    <xf numFmtId="14" fontId="20" fillId="3" borderId="0" xfId="49" applyNumberFormat="1" applyFont="1" applyFill="1" applyAlignment="1" applyProtection="1">
      <alignment horizontal="left" vertical="center"/>
    </xf>
    <xf numFmtId="0" fontId="20" fillId="3" borderId="0" xfId="49" applyFont="1" applyFill="1" applyAlignment="1" applyProtection="1">
      <alignment horizontal="left" vertical="center"/>
    </xf>
    <xf numFmtId="0" fontId="19" fillId="3" borderId="0" xfId="49" applyFont="1" applyFill="1" applyAlignment="1" applyProtection="1">
      <alignment vertical="center"/>
    </xf>
    <xf numFmtId="0" fontId="20" fillId="3" borderId="0" xfId="49" applyFont="1" applyFill="1" applyAlignment="1" applyProtection="1">
      <alignment vertical="center"/>
    </xf>
    <xf numFmtId="0" fontId="1" fillId="3" borderId="4" xfId="49" applyFill="1" applyBorder="1" applyAlignment="1" applyProtection="1">
      <alignment vertical="center"/>
    </xf>
    <xf numFmtId="0" fontId="1" fillId="3" borderId="5" xfId="49" applyFill="1" applyBorder="1" applyAlignment="1" applyProtection="1">
      <alignment vertical="center"/>
    </xf>
    <xf numFmtId="0" fontId="21" fillId="3" borderId="0" xfId="49" applyFont="1" applyFill="1" applyAlignment="1" applyProtection="1">
      <alignment vertical="center"/>
    </xf>
    <xf numFmtId="0" fontId="22" fillId="3" borderId="0" xfId="49" applyFont="1" applyFill="1" applyAlignment="1" applyProtection="1">
      <alignment vertical="center"/>
    </xf>
    <xf numFmtId="0" fontId="23" fillId="3" borderId="0" xfId="49" applyFont="1" applyFill="1" applyAlignment="1" applyProtection="1">
      <alignment horizontal="center" vertical="center"/>
    </xf>
    <xf numFmtId="0" fontId="15" fillId="3" borderId="0" xfId="49" applyFont="1" applyFill="1" applyAlignment="1" applyProtection="1">
      <alignment horizontal="center" vertical="center"/>
    </xf>
    <xf numFmtId="0" fontId="24" fillId="3" borderId="0" xfId="49" applyFont="1" applyFill="1" applyAlignment="1" applyProtection="1">
      <alignment horizontal="center" vertical="center"/>
    </xf>
    <xf numFmtId="0" fontId="1" fillId="3" borderId="3" xfId="49" applyFill="1" applyBorder="1" applyAlignment="1" applyProtection="1">
      <alignment vertical="center"/>
    </xf>
    <xf numFmtId="0" fontId="1" fillId="3" borderId="15" xfId="49" applyFill="1" applyBorder="1" applyAlignment="1" applyProtection="1">
      <alignment vertical="center"/>
    </xf>
    <xf numFmtId="0" fontId="1" fillId="3" borderId="6" xfId="49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95022</xdr:colOff>
      <xdr:row>0</xdr:row>
      <xdr:rowOff>62954</xdr:rowOff>
    </xdr:from>
    <xdr:to>
      <xdr:col>5</xdr:col>
      <xdr:colOff>66540</xdr:colOff>
      <xdr:row>4</xdr:row>
      <xdr:rowOff>75679</xdr:rowOff>
    </xdr:to>
    <xdr:pic>
      <xdr:nvPicPr>
        <xdr:cNvPr id="2" name="图片 4" descr="863LogePng中.png"/>
        <xdr:cNvPicPr/>
      </xdr:nvPicPr>
      <xdr:blipFill>
        <a:blip r:embed="rId1"/>
        <a:srcRect/>
        <a:stretch>
          <a:fillRect/>
        </a:stretch>
      </xdr:blipFill>
      <xdr:spPr>
        <a:xfrm>
          <a:off x="94615" y="62865"/>
          <a:ext cx="1355725" cy="9842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oft863\02%20&#36164;&#20135;&#24211;\01%20&#32452;&#32455;&#26631;&#20934;&#25991;&#20214;&#24211;\02%20&#39033;&#30446;&#31649;&#29702;\02%20&#39033;&#30446;&#31574;&#21010;\03%20&#27169;&#26495;\03&#36807;&#31243;&#27169;&#26495;\&#39033;&#30446;&#35745;&#2101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修订记录"/>
      <sheetName val="目录"/>
      <sheetName val="定义"/>
      <sheetName val="总览"/>
      <sheetName val="指标"/>
      <sheetName val="概述"/>
      <sheetName val="目标"/>
      <sheetName val="成果物"/>
      <sheetName val="里程碑"/>
      <sheetName val="需求"/>
      <sheetName val="规模"/>
      <sheetName val="代码行"/>
      <sheetName val="质量"/>
      <sheetName val="工作量"/>
      <sheetName val="投入"/>
      <sheetName val="资源"/>
      <sheetName val="人员"/>
      <sheetName val="环境"/>
      <sheetName val="风险"/>
      <sheetName val="协调"/>
      <sheetName val="培训"/>
      <sheetName val="PDB"/>
      <sheetName val="SQAMonthly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topLeftCell="A11" workbookViewId="0">
      <selection activeCell="P15" sqref="P15"/>
    </sheetView>
  </sheetViews>
  <sheetFormatPr defaultColWidth="3" defaultRowHeight="13.5"/>
  <cols>
    <col min="1" max="2" width="3.63333333333333" style="67"/>
    <col min="3" max="3" width="3.63333333333333" style="67" customWidth="1"/>
    <col min="4" max="16384" width="3.63333333333333" style="67"/>
  </cols>
  <sheetData>
    <row r="1" spans="1:24">
      <c r="A1" s="68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89"/>
    </row>
    <row r="2" ht="33.75" spans="1:24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84" t="s">
        <v>0</v>
      </c>
      <c r="O2" s="71"/>
      <c r="P2" s="71"/>
      <c r="Q2" s="71"/>
      <c r="R2" s="71"/>
      <c r="S2" s="71"/>
      <c r="T2" s="71"/>
      <c r="U2" s="71"/>
      <c r="V2" s="71"/>
      <c r="W2" s="71"/>
      <c r="X2" s="90"/>
    </row>
    <row r="3" ht="15.75" spans="1:24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85" t="s">
        <v>1</v>
      </c>
      <c r="P3" s="71"/>
      <c r="Q3" s="71"/>
      <c r="R3" s="71"/>
      <c r="S3" s="71"/>
      <c r="T3" s="71"/>
      <c r="U3" s="71"/>
      <c r="V3" s="71"/>
      <c r="W3" s="71"/>
      <c r="X3" s="90"/>
    </row>
    <row r="4" spans="1:24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90"/>
    </row>
    <row r="5" spans="1:24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90"/>
    </row>
    <row r="6" spans="1:24">
      <c r="A6" s="70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90"/>
    </row>
    <row r="7" spans="1:24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90"/>
    </row>
    <row r="8" spans="1:24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90"/>
    </row>
    <row r="9" spans="1:24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90"/>
    </row>
    <row r="10" customHeight="1" spans="1:2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90"/>
    </row>
    <row r="11" ht="50.25" spans="1:24">
      <c r="A11" s="72" t="s">
        <v>2</v>
      </c>
      <c r="B11" s="71"/>
      <c r="C11" s="71"/>
      <c r="D11" s="73"/>
      <c r="E11" s="71"/>
      <c r="F11" s="71"/>
      <c r="G11" s="71"/>
      <c r="H11" s="74"/>
      <c r="J11" s="71"/>
      <c r="K11" s="71"/>
      <c r="L11" s="86" t="s">
        <v>3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90"/>
    </row>
    <row r="12" spans="1:24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90"/>
    </row>
    <row r="13" spans="1:24">
      <c r="A13" s="70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90"/>
    </row>
    <row r="14" spans="1:24">
      <c r="A14" s="70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90"/>
    </row>
    <row r="15" ht="50.25" spans="1:24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87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90"/>
    </row>
    <row r="16" spans="1:24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90"/>
    </row>
    <row r="17" spans="1:24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90"/>
    </row>
    <row r="18" spans="1:24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90"/>
    </row>
    <row r="19" ht="20.25" spans="1:24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88" t="s">
        <v>4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90"/>
    </row>
    <row r="20" spans="1:24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90"/>
    </row>
    <row r="21" spans="1:24">
      <c r="A21" s="70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90"/>
    </row>
    <row r="22" spans="1:24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90"/>
    </row>
    <row r="23" spans="1:24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90"/>
    </row>
    <row r="24" spans="1:24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90"/>
    </row>
    <row r="25" spans="1:24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90"/>
    </row>
    <row r="26" spans="1:24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90"/>
    </row>
    <row r="27" spans="1:24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90"/>
    </row>
    <row r="28" spans="1:24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90"/>
    </row>
    <row r="29" spans="1:24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90"/>
    </row>
    <row r="30" spans="1:24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90"/>
    </row>
    <row r="31" spans="1:24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90"/>
    </row>
    <row r="32" spans="1:24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90"/>
    </row>
    <row r="33" ht="18.75" spans="1:24">
      <c r="A33" s="70"/>
      <c r="B33" s="75" t="s">
        <v>5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90"/>
    </row>
    <row r="34" ht="20.25" spans="1:24">
      <c r="A34" s="70"/>
      <c r="B34" s="76" t="s">
        <v>6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90"/>
    </row>
    <row r="35" ht="15.75" spans="1:24">
      <c r="A35" s="70"/>
      <c r="B35" s="77" t="s">
        <v>7</v>
      </c>
      <c r="C35" s="78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90"/>
    </row>
    <row r="36" ht="15.75" spans="1:24">
      <c r="A36" s="70"/>
      <c r="B36" s="77" t="s">
        <v>8</v>
      </c>
      <c r="C36" s="79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90"/>
    </row>
    <row r="37" ht="15.75" spans="1:24">
      <c r="A37" s="70"/>
      <c r="B37" s="80" t="s">
        <v>9</v>
      </c>
      <c r="C37" s="8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90"/>
    </row>
    <row r="38" spans="1:24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90"/>
    </row>
    <row r="39" spans="1:24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90"/>
    </row>
    <row r="40" spans="1:24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91"/>
    </row>
  </sheetData>
  <pageMargins left="0.699305555555556" right="0.699305555555556" top="0.75" bottom="0.75" header="0.3" footer="0.3"/>
  <pageSetup paperSize="9" scale="8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7"/>
  <sheetViews>
    <sheetView tabSelected="1" topLeftCell="A7" workbookViewId="0">
      <selection activeCell="D29" sqref="D29"/>
    </sheetView>
  </sheetViews>
  <sheetFormatPr defaultColWidth="21" defaultRowHeight="13.5" outlineLevelCol="6"/>
  <cols>
    <col min="1" max="1" width="7.09166666666667" style="1" customWidth="1"/>
    <col min="2" max="2" width="22.05" style="2" customWidth="1"/>
    <col min="3" max="3" width="20.45" style="1" customWidth="1"/>
    <col min="4" max="4" width="66.5416666666667" style="3" customWidth="1"/>
    <col min="5" max="5" width="11.175" style="4" customWidth="1"/>
    <col min="6" max="6" width="11.7666666666667" style="4" customWidth="1"/>
    <col min="7" max="7" width="20.2833333333333" style="1" customWidth="1"/>
    <col min="8" max="16384" width="21.0916666666667" style="1"/>
  </cols>
  <sheetData>
    <row r="1" ht="25" customHeight="1" spans="1:7">
      <c r="A1" s="5" t="s">
        <v>10</v>
      </c>
      <c r="B1" s="6"/>
      <c r="C1" s="6"/>
      <c r="D1" s="6"/>
      <c r="E1" s="6"/>
      <c r="F1" s="6"/>
      <c r="G1" s="7"/>
    </row>
    <row r="2" ht="25" customHeight="1" spans="1:7">
      <c r="A2" s="8"/>
      <c r="B2" s="9"/>
      <c r="C2" s="9"/>
      <c r="D2" s="9"/>
      <c r="E2" s="9"/>
      <c r="F2" s="9"/>
      <c r="G2" s="10"/>
    </row>
    <row r="3" ht="25" customHeight="1" spans="1:7">
      <c r="A3" s="11" t="s">
        <v>11</v>
      </c>
      <c r="B3" s="12"/>
      <c r="C3" s="12"/>
      <c r="D3" s="13"/>
      <c r="E3" s="14" t="s">
        <v>12</v>
      </c>
      <c r="F3" s="14" t="s">
        <v>13</v>
      </c>
      <c r="G3" s="14" t="s">
        <v>14</v>
      </c>
    </row>
    <row r="4" ht="25" customHeight="1" spans="1:7">
      <c r="A4" s="15"/>
      <c r="B4" s="16" t="s">
        <v>15</v>
      </c>
      <c r="C4" s="17"/>
      <c r="D4" s="18"/>
      <c r="E4" s="19">
        <v>15</v>
      </c>
      <c r="F4" s="19"/>
      <c r="G4" s="20"/>
    </row>
    <row r="5" ht="25" customHeight="1" spans="1:7">
      <c r="A5" s="11" t="s">
        <v>16</v>
      </c>
      <c r="B5" s="12"/>
      <c r="C5" s="12"/>
      <c r="D5" s="13"/>
      <c r="E5" s="21"/>
      <c r="F5" s="21"/>
      <c r="G5" s="20"/>
    </row>
    <row r="6" ht="187" customHeight="1" spans="1:7">
      <c r="A6" s="22"/>
      <c r="B6" s="23" t="s">
        <v>17</v>
      </c>
      <c r="C6" s="24"/>
      <c r="D6" s="24"/>
      <c r="E6" s="21">
        <v>100</v>
      </c>
      <c r="F6" s="21"/>
      <c r="G6" s="20" t="s">
        <v>18</v>
      </c>
    </row>
    <row r="7" ht="25" customHeight="1" spans="1:7">
      <c r="A7" s="22"/>
      <c r="B7" s="24" t="s">
        <v>19</v>
      </c>
      <c r="C7" s="24"/>
      <c r="D7" s="24"/>
      <c r="E7" s="21">
        <v>20</v>
      </c>
      <c r="F7" s="21"/>
      <c r="G7" s="20"/>
    </row>
    <row r="8" ht="25" customHeight="1" spans="1:7">
      <c r="A8" s="22"/>
      <c r="B8" s="24" t="s">
        <v>20</v>
      </c>
      <c r="C8" s="24"/>
      <c r="D8" s="24"/>
      <c r="E8" s="21">
        <v>20</v>
      </c>
      <c r="F8" s="21"/>
      <c r="G8" s="20"/>
    </row>
    <row r="9" ht="25" customHeight="1" spans="1:7">
      <c r="A9" s="11" t="s">
        <v>21</v>
      </c>
      <c r="B9" s="12"/>
      <c r="C9" s="12"/>
      <c r="D9" s="13"/>
      <c r="E9" s="25"/>
      <c r="F9" s="21"/>
      <c r="G9" s="26"/>
    </row>
    <row r="10" ht="25" customHeight="1" spans="1:7">
      <c r="A10" s="27"/>
      <c r="B10" s="28" t="s">
        <v>22</v>
      </c>
      <c r="C10" s="29" t="s">
        <v>23</v>
      </c>
      <c r="D10" s="30" t="s">
        <v>24</v>
      </c>
      <c r="E10" s="31"/>
      <c r="F10" s="21"/>
      <c r="G10" s="26"/>
    </row>
    <row r="11" ht="33" spans="1:7">
      <c r="A11" s="32"/>
      <c r="B11" s="33" t="s">
        <v>25</v>
      </c>
      <c r="C11" s="34" t="s">
        <v>26</v>
      </c>
      <c r="D11" s="35" t="s">
        <v>27</v>
      </c>
      <c r="E11" s="36">
        <v>24</v>
      </c>
      <c r="F11" s="21">
        <f t="shared" ref="F11:F22" si="0">E11/2</f>
        <v>12</v>
      </c>
      <c r="G11" s="37"/>
    </row>
    <row r="12" ht="16.5" spans="1:7">
      <c r="A12" s="32"/>
      <c r="B12" s="38"/>
      <c r="C12" s="34" t="s">
        <v>28</v>
      </c>
      <c r="D12" s="35" t="s">
        <v>29</v>
      </c>
      <c r="E12" s="36">
        <v>14</v>
      </c>
      <c r="F12" s="21">
        <f t="shared" si="0"/>
        <v>7</v>
      </c>
      <c r="G12" s="37"/>
    </row>
    <row r="13" ht="16.5" spans="1:7">
      <c r="A13" s="32"/>
      <c r="B13" s="39"/>
      <c r="C13" s="40" t="s">
        <v>30</v>
      </c>
      <c r="D13" s="35" t="s">
        <v>31</v>
      </c>
      <c r="E13" s="36">
        <v>14</v>
      </c>
      <c r="F13" s="21">
        <f t="shared" si="0"/>
        <v>7</v>
      </c>
      <c r="G13" s="37"/>
    </row>
    <row r="14" ht="16.5" spans="1:7">
      <c r="A14" s="32"/>
      <c r="B14" s="41" t="s">
        <v>32</v>
      </c>
      <c r="C14" s="40" t="s">
        <v>33</v>
      </c>
      <c r="D14" s="35" t="s">
        <v>34</v>
      </c>
      <c r="E14" s="36">
        <v>14</v>
      </c>
      <c r="F14" s="21">
        <f t="shared" si="0"/>
        <v>7</v>
      </c>
      <c r="G14" s="37"/>
    </row>
    <row r="15" ht="16.5" spans="1:7">
      <c r="A15" s="32"/>
      <c r="B15" s="42"/>
      <c r="C15" s="40" t="s">
        <v>35</v>
      </c>
      <c r="D15" s="35" t="s">
        <v>36</v>
      </c>
      <c r="E15" s="36">
        <v>4</v>
      </c>
      <c r="F15" s="21">
        <f t="shared" si="0"/>
        <v>2</v>
      </c>
      <c r="G15" s="37"/>
    </row>
    <row r="16" ht="16.5" spans="1:7">
      <c r="A16" s="32"/>
      <c r="B16" s="42"/>
      <c r="C16" s="40" t="s">
        <v>37</v>
      </c>
      <c r="D16" s="35" t="s">
        <v>38</v>
      </c>
      <c r="E16" s="36">
        <v>4</v>
      </c>
      <c r="F16" s="21">
        <f t="shared" si="0"/>
        <v>2</v>
      </c>
      <c r="G16" s="37"/>
    </row>
    <row r="17" ht="16.5" spans="1:7">
      <c r="A17" s="32"/>
      <c r="B17" s="33"/>
      <c r="C17" s="40" t="s">
        <v>39</v>
      </c>
      <c r="D17" s="35" t="s">
        <v>40</v>
      </c>
      <c r="E17" s="36">
        <v>40</v>
      </c>
      <c r="F17" s="21">
        <f t="shared" si="0"/>
        <v>20</v>
      </c>
      <c r="G17" s="37"/>
    </row>
    <row r="18" ht="16.5" spans="1:7">
      <c r="A18" s="32"/>
      <c r="B18" s="41" t="s">
        <v>41</v>
      </c>
      <c r="C18" s="40" t="s">
        <v>42</v>
      </c>
      <c r="D18" s="35" t="s">
        <v>43</v>
      </c>
      <c r="E18" s="36">
        <v>4</v>
      </c>
      <c r="F18" s="21">
        <f t="shared" si="0"/>
        <v>2</v>
      </c>
      <c r="G18" s="37"/>
    </row>
    <row r="19" ht="16.5" spans="1:7">
      <c r="A19" s="32"/>
      <c r="B19" s="42"/>
      <c r="C19" s="40" t="s">
        <v>44</v>
      </c>
      <c r="D19" s="35" t="s">
        <v>45</v>
      </c>
      <c r="E19" s="36">
        <v>4</v>
      </c>
      <c r="F19" s="21">
        <f t="shared" si="0"/>
        <v>2</v>
      </c>
      <c r="G19" s="37"/>
    </row>
    <row r="20" ht="16.5" spans="1:7">
      <c r="A20" s="32"/>
      <c r="B20" s="42"/>
      <c r="C20" s="40" t="s">
        <v>46</v>
      </c>
      <c r="D20" s="35" t="s">
        <v>47</v>
      </c>
      <c r="E20" s="36">
        <v>10</v>
      </c>
      <c r="F20" s="21">
        <f t="shared" si="0"/>
        <v>5</v>
      </c>
      <c r="G20" s="37"/>
    </row>
    <row r="21" ht="16.5" spans="1:7">
      <c r="A21" s="32"/>
      <c r="B21" s="42"/>
      <c r="C21" s="40" t="s">
        <v>48</v>
      </c>
      <c r="D21" s="35" t="s">
        <v>49</v>
      </c>
      <c r="E21" s="36">
        <v>24</v>
      </c>
      <c r="F21" s="21">
        <f t="shared" si="0"/>
        <v>12</v>
      </c>
      <c r="G21" s="37"/>
    </row>
    <row r="22" ht="16.5" spans="1:7">
      <c r="A22" s="32"/>
      <c r="B22" s="42"/>
      <c r="C22" s="40" t="s">
        <v>50</v>
      </c>
      <c r="D22" s="35" t="s">
        <v>51</v>
      </c>
      <c r="E22" s="36">
        <v>8</v>
      </c>
      <c r="F22" s="21">
        <v>4</v>
      </c>
      <c r="G22" s="37"/>
    </row>
    <row r="23" ht="16.5" spans="1:7">
      <c r="A23" s="32"/>
      <c r="B23" s="42"/>
      <c r="C23" s="40" t="s">
        <v>52</v>
      </c>
      <c r="D23" s="35" t="s">
        <v>53</v>
      </c>
      <c r="E23" s="36">
        <v>3</v>
      </c>
      <c r="F23" s="21">
        <f t="shared" ref="F23:F32" si="1">E23/2</f>
        <v>1.5</v>
      </c>
      <c r="G23" s="37"/>
    </row>
    <row r="24" ht="16.5" spans="1:7">
      <c r="A24" s="32"/>
      <c r="B24" s="42"/>
      <c r="C24" s="40" t="s">
        <v>54</v>
      </c>
      <c r="D24" s="35" t="s">
        <v>55</v>
      </c>
      <c r="E24" s="36">
        <v>3</v>
      </c>
      <c r="F24" s="21">
        <f t="shared" si="1"/>
        <v>1.5</v>
      </c>
      <c r="G24" s="37"/>
    </row>
    <row r="25" ht="16.5" spans="1:7">
      <c r="A25" s="32"/>
      <c r="B25" s="42"/>
      <c r="C25" s="40" t="s">
        <v>56</v>
      </c>
      <c r="D25" s="35" t="s">
        <v>57</v>
      </c>
      <c r="E25" s="36">
        <v>14</v>
      </c>
      <c r="F25" s="21">
        <f t="shared" si="1"/>
        <v>7</v>
      </c>
      <c r="G25" s="37"/>
    </row>
    <row r="26" ht="16.5" spans="1:7">
      <c r="A26" s="32"/>
      <c r="B26" s="42"/>
      <c r="C26" s="40" t="s">
        <v>58</v>
      </c>
      <c r="D26" s="35" t="s">
        <v>59</v>
      </c>
      <c r="E26" s="36">
        <v>4</v>
      </c>
      <c r="F26" s="21">
        <f t="shared" si="1"/>
        <v>2</v>
      </c>
      <c r="G26" s="37"/>
    </row>
    <row r="27" ht="16.5" spans="1:7">
      <c r="A27" s="32"/>
      <c r="B27" s="42"/>
      <c r="C27" s="40" t="s">
        <v>60</v>
      </c>
      <c r="D27" s="35" t="s">
        <v>61</v>
      </c>
      <c r="E27" s="36">
        <v>4</v>
      </c>
      <c r="F27" s="21">
        <f t="shared" si="1"/>
        <v>2</v>
      </c>
      <c r="G27" s="37"/>
    </row>
    <row r="28" ht="16.5" spans="1:7">
      <c r="A28" s="32"/>
      <c r="B28" s="42"/>
      <c r="C28" s="34" t="s">
        <v>62</v>
      </c>
      <c r="D28" s="35" t="s">
        <v>63</v>
      </c>
      <c r="E28" s="36">
        <v>10</v>
      </c>
      <c r="F28" s="21">
        <f t="shared" si="1"/>
        <v>5</v>
      </c>
      <c r="G28" s="37"/>
    </row>
    <row r="29" ht="16.5" spans="1:7">
      <c r="A29" s="32"/>
      <c r="B29" s="42"/>
      <c r="C29" s="43" t="s">
        <v>64</v>
      </c>
      <c r="D29" s="35" t="s">
        <v>65</v>
      </c>
      <c r="E29" s="36">
        <v>14</v>
      </c>
      <c r="F29" s="21">
        <f t="shared" si="1"/>
        <v>7</v>
      </c>
      <c r="G29" s="37" t="s">
        <v>66</v>
      </c>
    </row>
    <row r="30" ht="49.5" spans="1:7">
      <c r="A30" s="32"/>
      <c r="B30" s="33" t="s">
        <v>67</v>
      </c>
      <c r="C30" s="43" t="s">
        <v>68</v>
      </c>
      <c r="D30" s="35" t="s">
        <v>69</v>
      </c>
      <c r="E30" s="36">
        <v>30</v>
      </c>
      <c r="F30" s="21">
        <f t="shared" si="1"/>
        <v>15</v>
      </c>
      <c r="G30" s="37"/>
    </row>
    <row r="31" ht="16.5" spans="1:7">
      <c r="A31" s="32"/>
      <c r="B31" s="42" t="s">
        <v>70</v>
      </c>
      <c r="C31" s="43" t="s">
        <v>71</v>
      </c>
      <c r="D31" s="35" t="s">
        <v>72</v>
      </c>
      <c r="E31" s="36">
        <v>14</v>
      </c>
      <c r="F31" s="21">
        <f t="shared" si="1"/>
        <v>7</v>
      </c>
      <c r="G31" s="37"/>
    </row>
    <row r="32" ht="16.5" spans="1:7">
      <c r="A32" s="32"/>
      <c r="B32" s="42"/>
      <c r="C32" s="43" t="s">
        <v>73</v>
      </c>
      <c r="D32" s="35" t="s">
        <v>74</v>
      </c>
      <c r="E32" s="36">
        <v>14</v>
      </c>
      <c r="F32" s="21">
        <f t="shared" si="1"/>
        <v>7</v>
      </c>
      <c r="G32" s="37"/>
    </row>
    <row r="33" ht="25" customHeight="1" spans="1:7">
      <c r="A33" s="44" t="s">
        <v>75</v>
      </c>
      <c r="B33" s="45"/>
      <c r="C33" s="45"/>
      <c r="D33" s="46"/>
      <c r="E33" s="36">
        <v>28</v>
      </c>
      <c r="F33" s="21"/>
      <c r="G33" s="47"/>
    </row>
    <row r="34" ht="25" customHeight="1" spans="1:7">
      <c r="A34" s="44" t="s">
        <v>76</v>
      </c>
      <c r="B34" s="45"/>
      <c r="C34" s="45"/>
      <c r="D34" s="46"/>
      <c r="E34" s="36">
        <v>28</v>
      </c>
      <c r="F34" s="21"/>
      <c r="G34" s="48"/>
    </row>
    <row r="35" ht="25" customHeight="1" spans="1:7">
      <c r="A35" s="49" t="s">
        <v>77</v>
      </c>
      <c r="B35" s="50"/>
      <c r="C35" s="51"/>
      <c r="D35" s="52"/>
      <c r="E35" s="53">
        <f>SUM(E4:E34)</f>
        <v>485</v>
      </c>
      <c r="F35" s="54">
        <f>SUM(F11:F34)</f>
        <v>137</v>
      </c>
      <c r="G35" s="53">
        <f>SUM(E35:F35)</f>
        <v>622</v>
      </c>
    </row>
    <row r="36" ht="25" customHeight="1" spans="1:7">
      <c r="A36" s="55" t="s">
        <v>78</v>
      </c>
      <c r="B36" s="56"/>
      <c r="C36" s="57" t="s">
        <v>79</v>
      </c>
      <c r="D36" s="58"/>
      <c r="E36" s="59">
        <f>(E35)/21.75</f>
        <v>22.2988505747126</v>
      </c>
      <c r="F36" s="59">
        <f>(F35)/21.75</f>
        <v>6.29885057471264</v>
      </c>
      <c r="G36" s="59">
        <f>SUM(E36:F36)</f>
        <v>28.5977011494253</v>
      </c>
    </row>
    <row r="37" ht="61" customHeight="1" spans="1:7">
      <c r="A37" s="60" t="s">
        <v>80</v>
      </c>
      <c r="B37" s="61"/>
      <c r="C37" s="62" t="s">
        <v>81</v>
      </c>
      <c r="D37" s="63"/>
      <c r="E37" s="64">
        <f>(G36)*1.6*1.06</f>
        <v>48.5017011494253</v>
      </c>
      <c r="F37" s="65"/>
      <c r="G37" s="66"/>
    </row>
  </sheetData>
  <mergeCells count="23">
    <mergeCell ref="A3:D3"/>
    <mergeCell ref="B4:D4"/>
    <mergeCell ref="A5:D5"/>
    <mergeCell ref="B6:D6"/>
    <mergeCell ref="B7:D7"/>
    <mergeCell ref="B8:D8"/>
    <mergeCell ref="A9:D9"/>
    <mergeCell ref="A33:D33"/>
    <mergeCell ref="A34:D34"/>
    <mergeCell ref="A35:B35"/>
    <mergeCell ref="C35:D35"/>
    <mergeCell ref="A36:B36"/>
    <mergeCell ref="C36:D36"/>
    <mergeCell ref="A37:B37"/>
    <mergeCell ref="C37:D37"/>
    <mergeCell ref="E37:G37"/>
    <mergeCell ref="A6:A8"/>
    <mergeCell ref="A11:A32"/>
    <mergeCell ref="B11:B13"/>
    <mergeCell ref="B14:B17"/>
    <mergeCell ref="B18:B29"/>
    <mergeCell ref="B31:B32"/>
    <mergeCell ref="A1:G2"/>
  </mergeCells>
  <pageMargins left="0.159027777777778" right="0.109027777777778" top="0.259027777777778" bottom="0.259027777777778" header="0.179166666666667" footer="0.159027777777778"/>
  <pageSetup paperSize="9" scale="12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中国石化</Company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</vt:lpstr>
      <vt:lpstr>项目评估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中原油田</dc:creator>
  <cp:lastModifiedBy>张俊杰</cp:lastModifiedBy>
  <dcterms:created xsi:type="dcterms:W3CDTF">2013-12-02T17:20:00Z</dcterms:created>
  <dcterms:modified xsi:type="dcterms:W3CDTF">2023-07-25T08:05:14Z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FE60D785D9DD4B20A6C5DCF657A3B898_13</vt:lpwstr>
  </property>
</Properties>
</file>